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lidation Test Ben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s&quot;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22" customWidth="1" min="5" max="5"/>
    <col width="12" customWidth="1" min="6" max="6"/>
    <col width="12" customWidth="1" min="7" max="7"/>
    <col width="25" customWidth="1" min="8" max="8"/>
    <col width="12" customWidth="1" min="9" max="9"/>
    <col width="12" customWidth="1" min="10" max="10"/>
    <col width="26" customWidth="1" min="11" max="11"/>
    <col width="12" customWidth="1" min="12" max="12"/>
  </cols>
  <sheetData>
    <row r="1">
      <c r="A1" s="1" t="inlineStr">
        <is>
          <t>Literature Consolidation &amp; Repurposing Engine</t>
        </is>
      </c>
    </row>
    <row r="2">
      <c r="A2" s="2" t="inlineStr">
        <is>
          <t>Technical Validation &amp; Accuracy Benchmark Summary</t>
        </is>
      </c>
    </row>
    <row r="3"/>
    <row r="4">
      <c r="B4" s="3" t="inlineStr">
        <is>
          <t>Total Test Papers/Protocols</t>
        </is>
      </c>
      <c r="E4" s="3" t="inlineStr">
        <is>
          <t>Target Precision Target</t>
        </is>
      </c>
      <c r="H4" s="3" t="inlineStr">
        <is>
          <t>Current Mean Precision</t>
        </is>
      </c>
      <c r="K4" s="3" t="inlineStr">
        <is>
          <t>Zero-Hallucination Rate</t>
        </is>
      </c>
    </row>
    <row r="5">
      <c r="B5" s="4">
        <f>COUNT('Validation Test Bench'!A7:A20)</f>
        <v/>
      </c>
      <c r="E5" s="4" t="inlineStr">
        <is>
          <t>95.0%</t>
        </is>
      </c>
      <c r="H5" s="4">
        <f>'Validation Test Bench'!G21</f>
        <v/>
      </c>
      <c r="K5" s="4">
        <f>'Validation Test Bench'!J21</f>
        <v/>
      </c>
    </row>
    <row r="6"/>
    <row r="7"/>
    <row r="8">
      <c r="A8" s="5" t="inlineStr">
        <is>
          <t>Validation Metric</t>
        </is>
      </c>
      <c r="B8" s="5" t="inlineStr">
        <is>
          <t>Target Metric</t>
        </is>
      </c>
      <c r="C8" s="5" t="inlineStr">
        <is>
          <t>Current Baseline</t>
        </is>
      </c>
      <c r="D8" s="5" t="inlineStr">
        <is>
          <t>Status / Gap</t>
        </is>
      </c>
      <c r="E8" s="5" t="inlineStr">
        <is>
          <t>Investor Readiness</t>
        </is>
      </c>
    </row>
    <row r="9">
      <c r="A9" s="6" t="inlineStr">
        <is>
          <t>Entity Extraction Precision (NER)</t>
        </is>
      </c>
      <c r="B9" s="7" t="n">
        <v>0.95</v>
      </c>
      <c r="C9" s="7">
        <f>'Validation Test Bench'!G21</f>
        <v/>
      </c>
      <c r="D9" s="7">
        <f>C9-B9</f>
        <v/>
      </c>
      <c r="E9" s="8">
        <f>IF(D9&gt;=0, "Target Exceeded", "Needs Tuning")</f>
        <v/>
      </c>
    </row>
    <row r="10">
      <c r="A10" s="6" t="inlineStr">
        <is>
          <t>Source-Span Citation Accuracy</t>
        </is>
      </c>
      <c r="B10" s="7" t="n">
        <v>0.98</v>
      </c>
      <c r="C10" s="7">
        <f>'Validation Test Bench'!H21</f>
        <v/>
      </c>
      <c r="D10" s="7">
        <f>C10-B10</f>
        <v/>
      </c>
      <c r="E10" s="8">
        <f>IF(D10&gt;=0, "Investor Ready", "Action Required")</f>
        <v/>
      </c>
    </row>
    <row r="11">
      <c r="A11" s="6" t="inlineStr">
        <is>
          <t>Hallucination-Free Response Rate</t>
        </is>
      </c>
      <c r="B11" s="7" t="n">
        <v>0.99</v>
      </c>
      <c r="C11" s="7">
        <f>'Validation Test Bench'!J21</f>
        <v/>
      </c>
      <c r="D11" s="7">
        <f>C11-B11</f>
        <v/>
      </c>
      <c r="E11" s="8">
        <f>IF(D11&gt;=0, "Investor Ready", "Action Required")</f>
        <v/>
      </c>
    </row>
    <row r="12">
      <c r="A12" s="6" t="inlineStr">
        <is>
          <t>Evidence Evaluation Score (F1)</t>
        </is>
      </c>
      <c r="B12" s="7" t="n">
        <v>0.9</v>
      </c>
      <c r="C12" s="7">
        <f>'Validation Test Bench'!I21</f>
        <v/>
      </c>
      <c r="D12" s="7">
        <f>C12-B12</f>
        <v/>
      </c>
      <c r="E12" s="8">
        <f>IF(D12&gt;=0, "Target Exceeded", "Needs Tuning")</f>
        <v/>
      </c>
    </row>
    <row r="13">
      <c r="A13" s="6" t="inlineStr">
        <is>
          <t>Mean Query Latency (sec)</t>
        </is>
      </c>
      <c r="B13" s="9" t="n">
        <v>2.5</v>
      </c>
      <c r="C13" s="9">
        <f>'Validation Test Bench'!K21</f>
        <v/>
      </c>
      <c r="D13" s="9">
        <f>B13-C13</f>
        <v/>
      </c>
      <c r="E13" s="8">
        <f>IF(D13&gt;=0, "Investor Ready", "Optimize Index")</f>
        <v/>
      </c>
    </row>
  </sheetData>
  <mergeCells count="8">
    <mergeCell ref="E4:F4"/>
    <mergeCell ref="B5:C5"/>
    <mergeCell ref="E5:F5"/>
    <mergeCell ref="K5:L5"/>
    <mergeCell ref="H5:I5"/>
    <mergeCell ref="H4:I4"/>
    <mergeCell ref="K4:L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</cols>
  <sheetData>
    <row r="1">
      <c r="A1" s="1" t="inlineStr">
        <is>
          <t>Chordoma &amp; Clinical Literature Benchmark Dataset</t>
        </is>
      </c>
    </row>
    <row r="2">
      <c r="A2" s="2" t="inlineStr">
        <is>
          <t>Source-Span Citation Tracking &amp; Extraction Precision Audit</t>
        </is>
      </c>
    </row>
    <row r="3"/>
    <row r="4"/>
    <row r="5"/>
    <row r="6">
      <c r="A6" s="5" t="inlineStr">
        <is>
          <t>Test ID</t>
        </is>
      </c>
      <c r="B6" s="5" t="inlineStr">
        <is>
          <t>Source Document Title</t>
        </is>
      </c>
      <c r="C6" s="5" t="inlineStr">
        <is>
          <t>Document Type</t>
        </is>
      </c>
      <c r="D6" s="5" t="inlineStr">
        <is>
          <t>Target Concepts / Entities</t>
        </is>
      </c>
      <c r="E6" s="5" t="inlineStr">
        <is>
          <t>Extraction Count</t>
        </is>
      </c>
      <c r="F6" s="5" t="inlineStr">
        <is>
          <t>Correct Extracted</t>
        </is>
      </c>
      <c r="G6" s="5" t="inlineStr">
        <is>
          <t>Extraction Precision</t>
        </is>
      </c>
      <c r="H6" s="5" t="inlineStr">
        <is>
          <t>Citation Accuracy</t>
        </is>
      </c>
      <c r="I6" s="5" t="inlineStr">
        <is>
          <t>F1 Evidence Score</t>
        </is>
      </c>
      <c r="J6" s="5" t="inlineStr">
        <is>
          <t>Hallucination Free?</t>
        </is>
      </c>
      <c r="K6" s="5" t="inlineStr">
        <is>
          <t>Query Latency (s)</t>
        </is>
      </c>
      <c r="L6" s="5" t="inlineStr">
        <is>
          <t>Pass/Fail Status</t>
        </is>
      </c>
    </row>
    <row r="7">
      <c r="A7" s="10" t="inlineStr">
        <is>
          <t>BMK-001</t>
        </is>
      </c>
      <c r="B7" s="6" t="inlineStr">
        <is>
          <t>Chordoma Consensus Guidelines 2023</t>
        </is>
      </c>
      <c r="C7" s="10" t="inlineStr">
        <is>
          <t>Clinical Guideline</t>
        </is>
      </c>
      <c r="D7" s="11" t="n">
        <v>45</v>
      </c>
      <c r="E7" s="11" t="n">
        <v>45</v>
      </c>
      <c r="F7" s="11" t="n">
        <v>43</v>
      </c>
      <c r="G7" s="7">
        <f>F7/E7</f>
        <v/>
      </c>
      <c r="H7" s="7" t="n">
        <v>0.98</v>
      </c>
      <c r="I7" s="7" t="n">
        <v>0.92</v>
      </c>
      <c r="J7" s="12" t="n">
        <v>1</v>
      </c>
      <c r="K7" s="9" t="n">
        <v>1.85</v>
      </c>
      <c r="L7" s="8">
        <f>IF(AND(G7&gt;=0.95, H7&gt;=0.95, J7=1), "PASS", "FLAG")</f>
        <v/>
      </c>
    </row>
    <row r="8">
      <c r="A8" s="13" t="inlineStr">
        <is>
          <t>BMK-002</t>
        </is>
      </c>
      <c r="B8" s="14" t="inlineStr">
        <is>
          <t>PD-1 Blockade in Recurrent Chordoma Phase II</t>
        </is>
      </c>
      <c r="C8" s="13" t="inlineStr">
        <is>
          <t>Trial Protocol</t>
        </is>
      </c>
      <c r="D8" s="15" t="n">
        <v>32</v>
      </c>
      <c r="E8" s="15" t="n">
        <v>31</v>
      </c>
      <c r="F8" s="15" t="n">
        <v>29</v>
      </c>
      <c r="G8" s="16">
        <f>F8/E8</f>
        <v/>
      </c>
      <c r="H8" s="16" t="n">
        <v>0.96</v>
      </c>
      <c r="I8" s="16" t="n">
        <v>0.91</v>
      </c>
      <c r="J8" s="17" t="n">
        <v>1</v>
      </c>
      <c r="K8" s="18" t="n">
        <v>2.1</v>
      </c>
      <c r="L8" s="19">
        <f>IF(AND(G8&gt;=0.95, H8&gt;=0.95, J8=1), "PASS", "FLAG")</f>
        <v/>
      </c>
    </row>
    <row r="9">
      <c r="A9" s="10" t="inlineStr">
        <is>
          <t>BMK-003</t>
        </is>
      </c>
      <c r="B9" s="6" t="inlineStr">
        <is>
          <t>EGFR and MET Targeted Therapy Study</t>
        </is>
      </c>
      <c r="C9" s="10" t="inlineStr">
        <is>
          <t>Research Paper</t>
        </is>
      </c>
      <c r="D9" s="11" t="n">
        <v>28</v>
      </c>
      <c r="E9" s="11" t="n">
        <v>28</v>
      </c>
      <c r="F9" s="11" t="n">
        <v>26</v>
      </c>
      <c r="G9" s="7">
        <f>F9/E9</f>
        <v/>
      </c>
      <c r="H9" s="7" t="n">
        <v>0.95</v>
      </c>
      <c r="I9" s="7" t="n">
        <v>0.88</v>
      </c>
      <c r="J9" s="12" t="n">
        <v>1</v>
      </c>
      <c r="K9" s="9" t="n">
        <v>1.95</v>
      </c>
      <c r="L9" s="8">
        <f>IF(AND(G9&gt;=0.95, H9&gt;=0.95, J9=1), "PASS", "FLAG")</f>
        <v/>
      </c>
    </row>
    <row r="10">
      <c r="A10" s="13" t="inlineStr">
        <is>
          <t>BMK-004</t>
        </is>
      </c>
      <c r="B10" s="14" t="inlineStr">
        <is>
          <t>Brachyury Expression as Diagnostic Marker</t>
        </is>
      </c>
      <c r="C10" s="13" t="inlineStr">
        <is>
          <t>Research Paper</t>
        </is>
      </c>
      <c r="D10" s="15" t="n">
        <v>18</v>
      </c>
      <c r="E10" s="15" t="n">
        <v>18</v>
      </c>
      <c r="F10" s="15" t="n">
        <v>18</v>
      </c>
      <c r="G10" s="16">
        <f>F10/E10</f>
        <v/>
      </c>
      <c r="H10" s="16" t="n">
        <v>1</v>
      </c>
      <c r="I10" s="16" t="n">
        <v>0.96</v>
      </c>
      <c r="J10" s="17" t="n">
        <v>1</v>
      </c>
      <c r="K10" s="18" t="n">
        <v>1.4</v>
      </c>
      <c r="L10" s="19">
        <f>IF(AND(G10&gt;=0.95, H10&gt;=0.95, J10=1), "PASS", "FLAG")</f>
        <v/>
      </c>
    </row>
    <row r="11">
      <c r="A11" s="10" t="inlineStr">
        <is>
          <t>BMK-005</t>
        </is>
      </c>
      <c r="B11" s="6" t="inlineStr">
        <is>
          <t>Proton Beam vs IMRT Comparative Cohort</t>
        </is>
      </c>
      <c r="C11" s="10" t="inlineStr">
        <is>
          <t>Clinical Study</t>
        </is>
      </c>
      <c r="D11" s="11" t="n">
        <v>52</v>
      </c>
      <c r="E11" s="11" t="n">
        <v>50</v>
      </c>
      <c r="F11" s="11" t="n">
        <v>47</v>
      </c>
      <c r="G11" s="7">
        <f>F11/E11</f>
        <v/>
      </c>
      <c r="H11" s="7" t="n">
        <v>0.97</v>
      </c>
      <c r="I11" s="7" t="n">
        <v>0.93</v>
      </c>
      <c r="J11" s="12" t="n">
        <v>1</v>
      </c>
      <c r="K11" s="9" t="n">
        <v>2.75</v>
      </c>
      <c r="L11" s="8">
        <f>IF(AND(G11&gt;=0.95, H11&gt;=0.95, J11=1), "PASS", "FLAG")</f>
        <v/>
      </c>
    </row>
    <row r="12">
      <c r="A12" s="13" t="inlineStr">
        <is>
          <t>BMK-006</t>
        </is>
      </c>
      <c r="B12" s="14" t="inlineStr">
        <is>
          <t>Chordoma Foundation Research Roadmap 2024</t>
        </is>
      </c>
      <c r="C12" s="13" t="inlineStr">
        <is>
          <t>Strategic Report</t>
        </is>
      </c>
      <c r="D12" s="15" t="n">
        <v>40</v>
      </c>
      <c r="E12" s="15" t="n">
        <v>38</v>
      </c>
      <c r="F12" s="15" t="n">
        <v>35</v>
      </c>
      <c r="G12" s="16">
        <f>F12/E12</f>
        <v/>
      </c>
      <c r="H12" s="16" t="n">
        <v>0.9399999999999999</v>
      </c>
      <c r="I12" s="16" t="n">
        <v>0.89</v>
      </c>
      <c r="J12" s="17" t="n">
        <v>1</v>
      </c>
      <c r="K12" s="18" t="n">
        <v>2.3</v>
      </c>
      <c r="L12" s="19">
        <f>IF(AND(G12&gt;=0.95, H12&gt;=0.95, J12=1), "PASS", "FLAG")</f>
        <v/>
      </c>
    </row>
    <row r="13">
      <c r="A13" s="10" t="inlineStr">
        <is>
          <t>BMK-007</t>
        </is>
      </c>
      <c r="B13" s="6" t="inlineStr">
        <is>
          <t>Sacral Chordoma Surgical Margin Analysis</t>
        </is>
      </c>
      <c r="C13" s="10" t="inlineStr">
        <is>
          <t>Clinical Study</t>
        </is>
      </c>
      <c r="D13" s="11" t="n">
        <v>35</v>
      </c>
      <c r="E13" s="11" t="n">
        <v>35</v>
      </c>
      <c r="F13" s="11" t="n">
        <v>33</v>
      </c>
      <c r="G13" s="7">
        <f>F13/E13</f>
        <v/>
      </c>
      <c r="H13" s="7" t="n">
        <v>0.96</v>
      </c>
      <c r="I13" s="7" t="n">
        <v>0.9</v>
      </c>
      <c r="J13" s="12" t="n">
        <v>1</v>
      </c>
      <c r="K13" s="9" t="n">
        <v>2.05</v>
      </c>
      <c r="L13" s="8">
        <f>IF(AND(G13&gt;=0.95, H13&gt;=0.95, J13=1), "PASS", "FLAG")</f>
        <v/>
      </c>
    </row>
    <row r="14">
      <c r="A14" s="13" t="inlineStr">
        <is>
          <t>BMK-008</t>
        </is>
      </c>
      <c r="B14" s="14" t="inlineStr">
        <is>
          <t>Systemic Therapy Outcomes in Advanced Disease</t>
        </is>
      </c>
      <c r="C14" s="13" t="inlineStr">
        <is>
          <t>Meta-Analysis</t>
        </is>
      </c>
      <c r="D14" s="15" t="n">
        <v>60</v>
      </c>
      <c r="E14" s="15" t="n">
        <v>58</v>
      </c>
      <c r="F14" s="15" t="n">
        <v>53</v>
      </c>
      <c r="G14" s="16">
        <f>F14/E14</f>
        <v/>
      </c>
      <c r="H14" s="16" t="n">
        <v>0.95</v>
      </c>
      <c r="I14" s="16" t="n">
        <v>0.87</v>
      </c>
      <c r="J14" s="17" t="n">
        <v>0</v>
      </c>
      <c r="K14" s="18" t="n">
        <v>3.1</v>
      </c>
      <c r="L14" s="19">
        <f>IF(AND(G14&gt;=0.95, H14&gt;=0.95, J14=1), "PASS", "FLAG")</f>
        <v/>
      </c>
    </row>
    <row r="15">
      <c r="A15" s="10" t="inlineStr">
        <is>
          <t>BMK-009</t>
        </is>
      </c>
      <c r="B15" s="6" t="inlineStr">
        <is>
          <t>Immune Microenvironment &amp; TIL Characterization</t>
        </is>
      </c>
      <c r="C15" s="10" t="inlineStr">
        <is>
          <t>Research Paper</t>
        </is>
      </c>
      <c r="D15" s="11" t="n">
        <v>25</v>
      </c>
      <c r="E15" s="11" t="n">
        <v>24</v>
      </c>
      <c r="F15" s="11" t="n">
        <v>23</v>
      </c>
      <c r="G15" s="7">
        <f>F15/E15</f>
        <v/>
      </c>
      <c r="H15" s="7" t="n">
        <v>0.96</v>
      </c>
      <c r="I15" s="7" t="n">
        <v>0.92</v>
      </c>
      <c r="J15" s="12" t="n">
        <v>1</v>
      </c>
      <c r="K15" s="9" t="n">
        <v>1.8</v>
      </c>
      <c r="L15" s="8">
        <f>IF(AND(G15&gt;=0.95, H15&gt;=0.95, J15=1), "PASS", "FLAG")</f>
        <v/>
      </c>
    </row>
    <row r="16">
      <c r="A16" s="13" t="inlineStr">
        <is>
          <t>BMK-010</t>
        </is>
      </c>
      <c r="B16" s="14" t="inlineStr">
        <is>
          <t>Pediatric Chordoma Molecular Subtypes</t>
        </is>
      </c>
      <c r="C16" s="13" t="inlineStr">
        <is>
          <t>Research Paper</t>
        </is>
      </c>
      <c r="D16" s="15" t="n">
        <v>22</v>
      </c>
      <c r="E16" s="15" t="n">
        <v>22</v>
      </c>
      <c r="F16" s="15" t="n">
        <v>21</v>
      </c>
      <c r="G16" s="16">
        <f>F16/E16</f>
        <v/>
      </c>
      <c r="H16" s="16" t="n">
        <v>0.97</v>
      </c>
      <c r="I16" s="16" t="n">
        <v>0.9399999999999999</v>
      </c>
      <c r="J16" s="17" t="n">
        <v>1</v>
      </c>
      <c r="K16" s="18" t="n">
        <v>1.65</v>
      </c>
      <c r="L16" s="19">
        <f>IF(AND(G16&gt;=0.95, H16&gt;=0.95, J16=1), "PASS", "FLAG")</f>
        <v/>
      </c>
    </row>
    <row r="17">
      <c r="A17" s="10" t="inlineStr">
        <is>
          <t>BMK-011</t>
        </is>
      </c>
      <c r="B17" s="6" t="inlineStr">
        <is>
          <t>Pre-screening Eligibility Matrix for Trial Phase I/II</t>
        </is>
      </c>
      <c r="C17" s="10" t="inlineStr">
        <is>
          <t>Trial Protocol</t>
        </is>
      </c>
      <c r="D17" s="11" t="n">
        <v>48</v>
      </c>
      <c r="E17" s="11" t="n">
        <v>47</v>
      </c>
      <c r="F17" s="11" t="n">
        <v>45</v>
      </c>
      <c r="G17" s="7">
        <f>F17/E17</f>
        <v/>
      </c>
      <c r="H17" s="7" t="n">
        <v>0.98</v>
      </c>
      <c r="I17" s="7" t="n">
        <v>0.95</v>
      </c>
      <c r="J17" s="12" t="n">
        <v>1</v>
      </c>
      <c r="K17" s="9" t="n">
        <v>2.4</v>
      </c>
      <c r="L17" s="8">
        <f>IF(AND(G17&gt;=0.95, H17&gt;=0.95, J17=1), "PASS", "FLAG")</f>
        <v/>
      </c>
    </row>
    <row r="18">
      <c r="A18" s="13" t="inlineStr">
        <is>
          <t>BMK-012</t>
        </is>
      </c>
      <c r="B18" s="14" t="inlineStr">
        <is>
          <t>EGF-R Mutation Profile Response Rates</t>
        </is>
      </c>
      <c r="C18" s="13" t="inlineStr">
        <is>
          <t>Clinical Study</t>
        </is>
      </c>
      <c r="D18" s="15" t="n">
        <v>30</v>
      </c>
      <c r="E18" s="15" t="n">
        <v>29</v>
      </c>
      <c r="F18" s="15" t="n">
        <v>27</v>
      </c>
      <c r="G18" s="16">
        <f>F18/E18</f>
        <v/>
      </c>
      <c r="H18" s="16" t="n">
        <v>0.9399999999999999</v>
      </c>
      <c r="I18" s="16" t="n">
        <v>0.89</v>
      </c>
      <c r="J18" s="17" t="n">
        <v>1</v>
      </c>
      <c r="K18" s="18" t="n">
        <v>2.15</v>
      </c>
      <c r="L18" s="19">
        <f>IF(AND(G18&gt;=0.95, H18&gt;=0.95, J18=1), "PASS", "FLAG")</f>
        <v/>
      </c>
    </row>
    <row r="19">
      <c r="A19" s="10" t="inlineStr">
        <is>
          <t>BMK-013</t>
        </is>
      </c>
      <c r="B19" s="6" t="inlineStr">
        <is>
          <t>Radiomics &amp; Machine Learning in Chordoma</t>
        </is>
      </c>
      <c r="C19" s="10" t="inlineStr">
        <is>
          <t>Research Paper</t>
        </is>
      </c>
      <c r="D19" s="11" t="n">
        <v>38</v>
      </c>
      <c r="E19" s="11" t="n">
        <v>36</v>
      </c>
      <c r="F19" s="11" t="n">
        <v>33</v>
      </c>
      <c r="G19" s="7">
        <f>F19/E19</f>
        <v/>
      </c>
      <c r="H19" s="7" t="n">
        <v>0.93</v>
      </c>
      <c r="I19" s="7" t="n">
        <v>0.86</v>
      </c>
      <c r="J19" s="12" t="n">
        <v>1</v>
      </c>
      <c r="K19" s="9" t="n">
        <v>2.6</v>
      </c>
      <c r="L19" s="8">
        <f>IF(AND(G19&gt;=0.95, H19&gt;=0.95, J19=1), "PASS", "FLAG")</f>
        <v/>
      </c>
    </row>
    <row r="20">
      <c r="A20" s="13" t="inlineStr">
        <is>
          <t>BMK-014</t>
        </is>
      </c>
      <c r="B20" s="14" t="inlineStr">
        <is>
          <t>Chordoma Cell Line Drug Screening Benchmark</t>
        </is>
      </c>
      <c r="C20" s="13" t="inlineStr">
        <is>
          <t>Dataset Paper</t>
        </is>
      </c>
      <c r="D20" s="15" t="n">
        <v>55</v>
      </c>
      <c r="E20" s="15" t="n">
        <v>54</v>
      </c>
      <c r="F20" s="15" t="n">
        <v>52</v>
      </c>
      <c r="G20" s="16">
        <f>F20/E20</f>
        <v/>
      </c>
      <c r="H20" s="16" t="n">
        <v>0.98</v>
      </c>
      <c r="I20" s="16" t="n">
        <v>0.95</v>
      </c>
      <c r="J20" s="17" t="n">
        <v>1</v>
      </c>
      <c r="K20" s="18" t="n">
        <v>2.9</v>
      </c>
      <c r="L20" s="19">
        <f>IF(AND(G20&gt;=0.95, H20&gt;=0.95, J20=1), "PASS", "FLAG")</f>
        <v/>
      </c>
    </row>
    <row r="21">
      <c r="A21" s="20" t="inlineStr">
        <is>
          <t>AVERAGE / TOTAL</t>
        </is>
      </c>
      <c r="B21" s="21" t="n"/>
      <c r="C21" s="21" t="n"/>
      <c r="D21" s="22">
        <f>SUM(D7:D20)</f>
        <v/>
      </c>
      <c r="E21" s="22">
        <f>SUM(E7:E20)</f>
        <v/>
      </c>
      <c r="F21" s="22">
        <f>SUM(F7:F20)</f>
        <v/>
      </c>
      <c r="G21" s="23">
        <f>AVERAGE(G7:G20)</f>
        <v/>
      </c>
      <c r="H21" s="23">
        <f>AVERAGE(H7:H20)</f>
        <v/>
      </c>
      <c r="I21" s="23">
        <f>AVERAGE(I7:I20)</f>
        <v/>
      </c>
      <c r="J21" s="23">
        <f>AVERAGE(J7:J20)</f>
        <v/>
      </c>
      <c r="K21" s="24">
        <f>AVERAGE(K7:K20)</f>
        <v/>
      </c>
      <c r="L21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2026-10-12T21:49:07Z</dcterms:created>
  <dcterms:modified xmlns:dcterms="http://purl.org/dc/terms/" xmlns:xsi="http://www.w3.org/2001/XMLSchema-instance" xsi:type="dcterms:W3CDTF">2026-10-12T21:49:07Z</dcterms:modified>
</cp:coreProperties>
</file>